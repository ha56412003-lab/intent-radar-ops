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每日台账" sheetId="1" state="visible" r:id="rId1"/>
    <sheet name="2_漏斗看板" sheetId="2" state="visible" r:id="rId2"/>
    <sheet name="3_需求池_反哺内容" sheetId="3" state="visible" r:id="rId3"/>
    <sheet name="4_使用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微软雅黑"/>
      <b val="1"/>
      <color rgb="000F5C45"/>
      <sz val="14"/>
    </font>
    <font>
      <name val="微软雅黑"/>
      <color rgb="00777777"/>
      <sz val="9"/>
    </font>
    <font>
      <name val="微软雅黑"/>
      <b val="1"/>
      <color rgb="00FFFFFF"/>
      <sz val="10"/>
    </font>
    <font>
      <name val="微软雅黑"/>
      <color rgb="00000000"/>
      <sz val="9.5"/>
    </font>
    <font>
      <name val="微软雅黑"/>
      <b val="1"/>
      <color rgb="00000000"/>
      <sz val="10"/>
    </font>
    <font>
      <name val="微软雅黑"/>
      <b val="1"/>
      <color rgb="000F5C45"/>
      <sz val="11"/>
    </font>
    <font>
      <name val="微软雅黑"/>
      <b val="1"/>
      <color rgb="00B8860B"/>
      <sz val="11"/>
    </font>
    <font>
      <name val="微软雅黑"/>
      <color rgb="00666666"/>
      <sz val="10"/>
    </font>
    <font>
      <name val="微软雅黑"/>
      <color rgb="00666666"/>
      <sz val="9"/>
    </font>
    <font>
      <name val="微软雅黑"/>
      <b val="1"/>
      <color rgb="009A7118"/>
      <sz val="11"/>
    </font>
    <font>
      <name val="微软雅黑"/>
      <color rgb="00444444"/>
      <sz val="9.5"/>
    </font>
    <font>
      <name val="微软雅黑"/>
      <b val="1"/>
      <color rgb="000F5C45"/>
      <sz val="15"/>
    </font>
    <font>
      <name val="微软雅黑"/>
      <color rgb="00333333"/>
      <sz val="9.5"/>
    </font>
  </fonts>
  <fills count="4">
    <fill>
      <patternFill/>
    </fill>
    <fill>
      <patternFill patternType="gray125"/>
    </fill>
    <fill>
      <patternFill patternType="solid">
        <fgColor rgb="000F5C45"/>
      </patternFill>
    </fill>
    <fill>
      <patternFill patternType="solid">
        <fgColor rgb="009A711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3" fontId="6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26" customWidth="1" min="4" max="4"/>
    <col width="8" customWidth="1" min="5" max="5"/>
    <col width="30" customWidth="1" min="6" max="6"/>
    <col width="26" customWidth="1" min="7" max="7"/>
    <col width="8" customWidth="1" min="8" max="8"/>
    <col width="8" customWidth="1" min="9" max="9"/>
    <col width="8" customWidth="1" min="10" max="10"/>
    <col width="12" customWidth="1" min="11" max="11"/>
  </cols>
  <sheetData>
    <row r="1" ht="30" customHeight="1">
      <c r="A1" s="1" t="inlineStr">
        <is>
          <t>意向雷达 · 每日作业台账（员工每天填这张）</t>
        </is>
      </c>
    </row>
    <row r="2">
      <c r="A2" s="2" t="inlineStr">
        <is>
          <t>填写规则：① 每回复一条填一行 ② 「已回复」填 1 ③ 有私信进来 J 列填 1 ④ 留资/加微 K 列填 1</t>
        </is>
      </c>
    </row>
    <row r="4" ht="26" customHeight="1">
      <c r="A4" s="3" t="inlineStr">
        <is>
          <t>日期</t>
        </is>
      </c>
      <c r="B4" s="3" t="inlineStr">
        <is>
          <t>员工</t>
        </is>
      </c>
      <c r="C4" s="3" t="inlineStr">
        <is>
          <t>平台</t>
        </is>
      </c>
      <c r="D4" s="3" t="inlineStr">
        <is>
          <t>作品/主题</t>
        </is>
      </c>
      <c r="E4" s="3" t="inlineStr">
        <is>
          <t>意向等级</t>
        </is>
      </c>
      <c r="F4" s="3" t="inlineStr">
        <is>
          <t>原评论</t>
        </is>
      </c>
      <c r="G4" s="3" t="inlineStr">
        <is>
          <t>使用话术</t>
        </is>
      </c>
      <c r="H4" s="3" t="inlineStr">
        <is>
          <t>已回复</t>
        </is>
      </c>
      <c r="I4" s="3" t="inlineStr">
        <is>
          <t>私信</t>
        </is>
      </c>
      <c r="J4" s="3" t="inlineStr">
        <is>
          <t>留资</t>
        </is>
      </c>
      <c r="K4" s="3" t="inlineStr">
        <is>
          <t>备注</t>
        </is>
      </c>
    </row>
    <row r="5" ht="32" customHeight="1">
      <c r="A5" s="4" t="inlineStr">
        <is>
          <t>2026-10-27</t>
        </is>
      </c>
      <c r="B5" s="4" t="inlineStr">
        <is>
          <t>张三</t>
        </is>
      </c>
      <c r="C5" s="4" t="inlineStr">
        <is>
          <t>抖音</t>
        </is>
      </c>
      <c r="D5" s="4" t="inlineStr">
        <is>
          <t>云南旅游·XX作品</t>
        </is>
      </c>
      <c r="E5" s="5" t="inlineStr">
        <is>
          <t>A</t>
        </is>
      </c>
      <c r="F5" s="6" t="inlineStr">
        <is>
          <t>一家5口 求攻略</t>
        </is>
      </c>
      <c r="G5" s="6" t="inlineStr">
        <is>
          <t>我们有固定发团的纯玩小团，你大概几号方便、几个人？</t>
        </is>
      </c>
      <c r="H5" s="5" t="n">
        <v>1</v>
      </c>
      <c r="I5" s="5" t="n">
        <v>1</v>
      </c>
      <c r="J5" s="5" t="n">
        <v>0</v>
      </c>
      <c r="K5" s="4" t="inlineStr">
        <is>
          <t>已加私信</t>
        </is>
      </c>
    </row>
    <row r="6" ht="32" customHeight="1">
      <c r="A6" s="4" t="inlineStr">
        <is>
          <t>2026-10-27</t>
        </is>
      </c>
      <c r="B6" s="4" t="inlineStr">
        <is>
          <t>张三</t>
        </is>
      </c>
      <c r="C6" s="4" t="inlineStr">
        <is>
          <t>小红书</t>
        </is>
      </c>
      <c r="D6" s="4" t="inlineStr">
        <is>
          <t>云南旅游攻略笔记</t>
        </is>
      </c>
      <c r="E6" s="5" t="inlineStr">
        <is>
          <t>A</t>
        </is>
      </c>
      <c r="F6" s="6" t="inlineStr">
        <is>
          <t>两个人五天多少钱</t>
        </is>
      </c>
      <c r="G6" s="6" t="inlineStr">
        <is>
          <t>费用看人数和天数差别挺大。你们几个人、想去哪几个地方？</t>
        </is>
      </c>
      <c r="H6" s="5" t="n">
        <v>1</v>
      </c>
      <c r="I6" s="5" t="n">
        <v>0</v>
      </c>
      <c r="J6" s="5" t="n">
        <v>0</v>
      </c>
      <c r="K6" s="4" t="inlineStr"/>
    </row>
    <row r="7" ht="32" customHeight="1">
      <c r="A7" s="4" t="inlineStr">
        <is>
          <t>2026-10-27</t>
        </is>
      </c>
      <c r="B7" s="4" t="inlineStr">
        <is>
          <t>李四</t>
        </is>
      </c>
      <c r="C7" s="4" t="inlineStr">
        <is>
          <t>抖音</t>
        </is>
      </c>
      <c r="D7" s="4" t="inlineStr">
        <is>
          <t>大理亲子游</t>
        </is>
      </c>
      <c r="E7" s="5" t="inlineStr">
        <is>
          <t>B</t>
        </is>
      </c>
      <c r="F7" s="6" t="inlineStr">
        <is>
          <t>求攻略</t>
        </is>
      </c>
      <c r="G7" s="6" t="inlineStr">
        <is>
          <t>我主页合集里有按天数分的攻略</t>
        </is>
      </c>
      <c r="H7" s="5" t="n">
        <v>1</v>
      </c>
      <c r="I7" s="5" t="n">
        <v>0</v>
      </c>
      <c r="J7" s="5" t="n">
        <v>0</v>
      </c>
      <c r="K7" s="4" t="inlineStr"/>
    </row>
    <row r="8">
      <c r="A8" s="7" t="n"/>
      <c r="B8" s="7" t="n"/>
      <c r="C8" s="7" t="n"/>
      <c r="D8" s="7" t="n"/>
      <c r="E8" s="8" t="n"/>
      <c r="F8" s="7" t="n"/>
      <c r="G8" s="7" t="n"/>
      <c r="H8" s="8" t="n"/>
      <c r="I8" s="8" t="n"/>
      <c r="J8" s="8" t="n"/>
      <c r="K8" s="7" t="n"/>
    </row>
    <row r="9">
      <c r="A9" s="7" t="n"/>
      <c r="B9" s="7" t="n"/>
      <c r="C9" s="7" t="n"/>
      <c r="D9" s="7" t="n"/>
      <c r="E9" s="8" t="n"/>
      <c r="F9" s="7" t="n"/>
      <c r="G9" s="7" t="n"/>
      <c r="H9" s="8" t="n"/>
      <c r="I9" s="8" t="n"/>
      <c r="J9" s="8" t="n"/>
      <c r="K9" s="7" t="n"/>
    </row>
    <row r="10">
      <c r="A10" s="7" t="n"/>
      <c r="B10" s="7" t="n"/>
      <c r="C10" s="7" t="n"/>
      <c r="D10" s="7" t="n"/>
      <c r="E10" s="8" t="n"/>
      <c r="F10" s="7" t="n"/>
      <c r="G10" s="7" t="n"/>
      <c r="H10" s="8" t="n"/>
      <c r="I10" s="8" t="n"/>
      <c r="J10" s="8" t="n"/>
      <c r="K10" s="7" t="n"/>
    </row>
    <row r="11">
      <c r="A11" s="7" t="n"/>
      <c r="B11" s="7" t="n"/>
      <c r="C11" s="7" t="n"/>
      <c r="D11" s="7" t="n"/>
      <c r="E11" s="8" t="n"/>
      <c r="F11" s="7" t="n"/>
      <c r="G11" s="7" t="n"/>
      <c r="H11" s="8" t="n"/>
      <c r="I11" s="8" t="n"/>
      <c r="J11" s="8" t="n"/>
      <c r="K11" s="7" t="n"/>
    </row>
    <row r="12">
      <c r="A12" s="7" t="n"/>
      <c r="B12" s="7" t="n"/>
      <c r="C12" s="7" t="n"/>
      <c r="D12" s="7" t="n"/>
      <c r="E12" s="8" t="n"/>
      <c r="F12" s="7" t="n"/>
      <c r="G12" s="7" t="n"/>
      <c r="H12" s="8" t="n"/>
      <c r="I12" s="8" t="n"/>
      <c r="J12" s="8" t="n"/>
      <c r="K12" s="7" t="n"/>
    </row>
    <row r="13">
      <c r="A13" s="7" t="n"/>
      <c r="B13" s="7" t="n"/>
      <c r="C13" s="7" t="n"/>
      <c r="D13" s="7" t="n"/>
      <c r="E13" s="8" t="n"/>
      <c r="F13" s="7" t="n"/>
      <c r="G13" s="7" t="n"/>
      <c r="H13" s="8" t="n"/>
      <c r="I13" s="8" t="n"/>
      <c r="J13" s="8" t="n"/>
      <c r="K13" s="7" t="n"/>
    </row>
    <row r="14">
      <c r="A14" s="7" t="n"/>
      <c r="B14" s="7" t="n"/>
      <c r="C14" s="7" t="n"/>
      <c r="D14" s="7" t="n"/>
      <c r="E14" s="8" t="n"/>
      <c r="F14" s="7" t="n"/>
      <c r="G14" s="7" t="n"/>
      <c r="H14" s="8" t="n"/>
      <c r="I14" s="8" t="n"/>
      <c r="J14" s="8" t="n"/>
      <c r="K14" s="7" t="n"/>
    </row>
    <row r="15">
      <c r="A15" s="7" t="n"/>
      <c r="B15" s="7" t="n"/>
      <c r="C15" s="7" t="n"/>
      <c r="D15" s="7" t="n"/>
      <c r="E15" s="8" t="n"/>
      <c r="F15" s="7" t="n"/>
      <c r="G15" s="7" t="n"/>
      <c r="H15" s="8" t="n"/>
      <c r="I15" s="8" t="n"/>
      <c r="J15" s="8" t="n"/>
      <c r="K15" s="7" t="n"/>
    </row>
    <row r="16">
      <c r="A16" s="7" t="n"/>
      <c r="B16" s="7" t="n"/>
      <c r="C16" s="7" t="n"/>
      <c r="D16" s="7" t="n"/>
      <c r="E16" s="8" t="n"/>
      <c r="F16" s="7" t="n"/>
      <c r="G16" s="7" t="n"/>
      <c r="H16" s="8" t="n"/>
      <c r="I16" s="8" t="n"/>
      <c r="J16" s="8" t="n"/>
      <c r="K16" s="7" t="n"/>
    </row>
    <row r="17">
      <c r="A17" s="7" t="n"/>
      <c r="B17" s="7" t="n"/>
      <c r="C17" s="7" t="n"/>
      <c r="D17" s="7" t="n"/>
      <c r="E17" s="8" t="n"/>
      <c r="F17" s="7" t="n"/>
      <c r="G17" s="7" t="n"/>
      <c r="H17" s="8" t="n"/>
      <c r="I17" s="8" t="n"/>
      <c r="J17" s="8" t="n"/>
      <c r="K17" s="7" t="n"/>
    </row>
    <row r="18">
      <c r="A18" s="7" t="n"/>
      <c r="B18" s="7" t="n"/>
      <c r="C18" s="7" t="n"/>
      <c r="D18" s="7" t="n"/>
      <c r="E18" s="8" t="n"/>
      <c r="F18" s="7" t="n"/>
      <c r="G18" s="7" t="n"/>
      <c r="H18" s="8" t="n"/>
      <c r="I18" s="8" t="n"/>
      <c r="J18" s="8" t="n"/>
      <c r="K18" s="7" t="n"/>
    </row>
    <row r="19">
      <c r="A19" s="7" t="n"/>
      <c r="B19" s="7" t="n"/>
      <c r="C19" s="7" t="n"/>
      <c r="D19" s="7" t="n"/>
      <c r="E19" s="8" t="n"/>
      <c r="F19" s="7" t="n"/>
      <c r="G19" s="7" t="n"/>
      <c r="H19" s="8" t="n"/>
      <c r="I19" s="8" t="n"/>
      <c r="J19" s="8" t="n"/>
      <c r="K19" s="7" t="n"/>
    </row>
    <row r="20">
      <c r="A20" s="7" t="n"/>
      <c r="B20" s="7" t="n"/>
      <c r="C20" s="7" t="n"/>
      <c r="D20" s="7" t="n"/>
      <c r="E20" s="8" t="n"/>
      <c r="F20" s="7" t="n"/>
      <c r="G20" s="7" t="n"/>
      <c r="H20" s="8" t="n"/>
      <c r="I20" s="8" t="n"/>
      <c r="J20" s="8" t="n"/>
      <c r="K20" s="7" t="n"/>
    </row>
    <row r="21">
      <c r="A21" s="7" t="n"/>
      <c r="B21" s="7" t="n"/>
      <c r="C21" s="7" t="n"/>
      <c r="D21" s="7" t="n"/>
      <c r="E21" s="8" t="n"/>
      <c r="F21" s="7" t="n"/>
      <c r="G21" s="7" t="n"/>
      <c r="H21" s="8" t="n"/>
      <c r="I21" s="8" t="n"/>
      <c r="J21" s="8" t="n"/>
      <c r="K21" s="7" t="n"/>
    </row>
    <row r="22">
      <c r="A22" s="7" t="n"/>
      <c r="B22" s="7" t="n"/>
      <c r="C22" s="7" t="n"/>
      <c r="D22" s="7" t="n"/>
      <c r="E22" s="8" t="n"/>
      <c r="F22" s="7" t="n"/>
      <c r="G22" s="7" t="n"/>
      <c r="H22" s="8" t="n"/>
      <c r="I22" s="8" t="n"/>
      <c r="J22" s="8" t="n"/>
      <c r="K22" s="7" t="n"/>
    </row>
    <row r="23">
      <c r="A23" s="7" t="n"/>
      <c r="B23" s="7" t="n"/>
      <c r="C23" s="7" t="n"/>
      <c r="D23" s="7" t="n"/>
      <c r="E23" s="8" t="n"/>
      <c r="F23" s="7" t="n"/>
      <c r="G23" s="7" t="n"/>
      <c r="H23" s="8" t="n"/>
      <c r="I23" s="8" t="n"/>
      <c r="J23" s="8" t="n"/>
      <c r="K23" s="7" t="n"/>
    </row>
    <row r="24">
      <c r="A24" s="7" t="n"/>
      <c r="B24" s="7" t="n"/>
      <c r="C24" s="7" t="n"/>
      <c r="D24" s="7" t="n"/>
      <c r="E24" s="8" t="n"/>
      <c r="F24" s="7" t="n"/>
      <c r="G24" s="7" t="n"/>
      <c r="H24" s="8" t="n"/>
      <c r="I24" s="8" t="n"/>
      <c r="J24" s="8" t="n"/>
      <c r="K24" s="7" t="n"/>
    </row>
    <row r="25">
      <c r="A25" s="7" t="n"/>
      <c r="B25" s="7" t="n"/>
      <c r="C25" s="7" t="n"/>
      <c r="D25" s="7" t="n"/>
      <c r="E25" s="8" t="n"/>
      <c r="F25" s="7" t="n"/>
      <c r="G25" s="7" t="n"/>
      <c r="H25" s="8" t="n"/>
      <c r="I25" s="8" t="n"/>
      <c r="J25" s="8" t="n"/>
      <c r="K25" s="7" t="n"/>
    </row>
    <row r="26">
      <c r="A26" s="7" t="n"/>
      <c r="B26" s="7" t="n"/>
      <c r="C26" s="7" t="n"/>
      <c r="D26" s="7" t="n"/>
      <c r="E26" s="8" t="n"/>
      <c r="F26" s="7" t="n"/>
      <c r="G26" s="7" t="n"/>
      <c r="H26" s="8" t="n"/>
      <c r="I26" s="8" t="n"/>
      <c r="J26" s="8" t="n"/>
      <c r="K26" s="7" t="n"/>
    </row>
    <row r="27">
      <c r="A27" s="7" t="n"/>
      <c r="B27" s="7" t="n"/>
      <c r="C27" s="7" t="n"/>
      <c r="D27" s="7" t="n"/>
      <c r="E27" s="8" t="n"/>
      <c r="F27" s="7" t="n"/>
      <c r="G27" s="7" t="n"/>
      <c r="H27" s="8" t="n"/>
      <c r="I27" s="8" t="n"/>
      <c r="J27" s="8" t="n"/>
      <c r="K27" s="7" t="n"/>
    </row>
    <row r="28">
      <c r="A28" s="7" t="n"/>
      <c r="B28" s="7" t="n"/>
      <c r="C28" s="7" t="n"/>
      <c r="D28" s="7" t="n"/>
      <c r="E28" s="8" t="n"/>
      <c r="F28" s="7" t="n"/>
      <c r="G28" s="7" t="n"/>
      <c r="H28" s="8" t="n"/>
      <c r="I28" s="8" t="n"/>
      <c r="J28" s="8" t="n"/>
      <c r="K28" s="7" t="n"/>
    </row>
    <row r="29">
      <c r="A29" s="7" t="n"/>
      <c r="B29" s="7" t="n"/>
      <c r="C29" s="7" t="n"/>
      <c r="D29" s="7" t="n"/>
      <c r="E29" s="8" t="n"/>
      <c r="F29" s="7" t="n"/>
      <c r="G29" s="7" t="n"/>
      <c r="H29" s="8" t="n"/>
      <c r="I29" s="8" t="n"/>
      <c r="J29" s="8" t="n"/>
      <c r="K29" s="7" t="n"/>
    </row>
    <row r="30">
      <c r="A30" s="7" t="n"/>
      <c r="B30" s="7" t="n"/>
      <c r="C30" s="7" t="n"/>
      <c r="D30" s="7" t="n"/>
      <c r="E30" s="8" t="n"/>
      <c r="F30" s="7" t="n"/>
      <c r="G30" s="7" t="n"/>
      <c r="H30" s="8" t="n"/>
      <c r="I30" s="8" t="n"/>
      <c r="J30" s="8" t="n"/>
      <c r="K30" s="7" t="n"/>
    </row>
    <row r="31">
      <c r="A31" s="7" t="n"/>
      <c r="B31" s="7" t="n"/>
      <c r="C31" s="7" t="n"/>
      <c r="D31" s="7" t="n"/>
      <c r="E31" s="8" t="n"/>
      <c r="F31" s="7" t="n"/>
      <c r="G31" s="7" t="n"/>
      <c r="H31" s="8" t="n"/>
      <c r="I31" s="8" t="n"/>
      <c r="J31" s="8" t="n"/>
      <c r="K31" s="7" t="n"/>
    </row>
    <row r="32">
      <c r="A32" s="7" t="n"/>
      <c r="B32" s="7" t="n"/>
      <c r="C32" s="7" t="n"/>
      <c r="D32" s="7" t="n"/>
      <c r="E32" s="8" t="n"/>
      <c r="F32" s="7" t="n"/>
      <c r="G32" s="7" t="n"/>
      <c r="H32" s="8" t="n"/>
      <c r="I32" s="8" t="n"/>
      <c r="J32" s="8" t="n"/>
      <c r="K32" s="7" t="n"/>
    </row>
    <row r="33">
      <c r="A33" s="7" t="n"/>
      <c r="B33" s="7" t="n"/>
      <c r="C33" s="7" t="n"/>
      <c r="D33" s="7" t="n"/>
      <c r="E33" s="8" t="n"/>
      <c r="F33" s="7" t="n"/>
      <c r="G33" s="7" t="n"/>
      <c r="H33" s="8" t="n"/>
      <c r="I33" s="8" t="n"/>
      <c r="J33" s="8" t="n"/>
      <c r="K33" s="7" t="n"/>
    </row>
    <row r="34">
      <c r="A34" s="7" t="n"/>
      <c r="B34" s="7" t="n"/>
      <c r="C34" s="7" t="n"/>
      <c r="D34" s="7" t="n"/>
      <c r="E34" s="8" t="n"/>
      <c r="F34" s="7" t="n"/>
      <c r="G34" s="7" t="n"/>
      <c r="H34" s="8" t="n"/>
      <c r="I34" s="8" t="n"/>
      <c r="J34" s="8" t="n"/>
      <c r="K34" s="7" t="n"/>
    </row>
    <row r="35">
      <c r="A35" s="7" t="n"/>
      <c r="B35" s="7" t="n"/>
      <c r="C35" s="7" t="n"/>
      <c r="D35" s="7" t="n"/>
      <c r="E35" s="8" t="n"/>
      <c r="F35" s="7" t="n"/>
      <c r="G35" s="7" t="n"/>
      <c r="H35" s="8" t="n"/>
      <c r="I35" s="8" t="n"/>
      <c r="J35" s="8" t="n"/>
      <c r="K35" s="7" t="n"/>
    </row>
    <row r="36">
      <c r="A36" s="7" t="n"/>
      <c r="B36" s="7" t="n"/>
      <c r="C36" s="7" t="n"/>
      <c r="D36" s="7" t="n"/>
      <c r="E36" s="8" t="n"/>
      <c r="F36" s="7" t="n"/>
      <c r="G36" s="7" t="n"/>
      <c r="H36" s="8" t="n"/>
      <c r="I36" s="8" t="n"/>
      <c r="J36" s="8" t="n"/>
      <c r="K36" s="7" t="n"/>
    </row>
    <row r="37">
      <c r="A37" s="7" t="n"/>
      <c r="B37" s="7" t="n"/>
      <c r="C37" s="7" t="n"/>
      <c r="D37" s="7" t="n"/>
      <c r="E37" s="8" t="n"/>
      <c r="F37" s="7" t="n"/>
      <c r="G37" s="7" t="n"/>
      <c r="H37" s="8" t="n"/>
      <c r="I37" s="8" t="n"/>
      <c r="J37" s="8" t="n"/>
      <c r="K37" s="7" t="n"/>
    </row>
    <row r="38">
      <c r="A38" s="7" t="n"/>
      <c r="B38" s="7" t="n"/>
      <c r="C38" s="7" t="n"/>
      <c r="D38" s="7" t="n"/>
      <c r="E38" s="8" t="n"/>
      <c r="F38" s="7" t="n"/>
      <c r="G38" s="7" t="n"/>
      <c r="H38" s="8" t="n"/>
      <c r="I38" s="8" t="n"/>
      <c r="J38" s="8" t="n"/>
      <c r="K38" s="7" t="n"/>
    </row>
    <row r="39">
      <c r="A39" s="7" t="n"/>
      <c r="B39" s="7" t="n"/>
      <c r="C39" s="7" t="n"/>
      <c r="D39" s="7" t="n"/>
      <c r="E39" s="8" t="n"/>
      <c r="F39" s="7" t="n"/>
      <c r="G39" s="7" t="n"/>
      <c r="H39" s="8" t="n"/>
      <c r="I39" s="8" t="n"/>
      <c r="J39" s="8" t="n"/>
      <c r="K39" s="7" t="n"/>
    </row>
    <row r="40">
      <c r="A40" s="7" t="n"/>
      <c r="B40" s="7" t="n"/>
      <c r="C40" s="7" t="n"/>
      <c r="D40" s="7" t="n"/>
      <c r="E40" s="8" t="n"/>
      <c r="F40" s="7" t="n"/>
      <c r="G40" s="7" t="n"/>
      <c r="H40" s="8" t="n"/>
      <c r="I40" s="8" t="n"/>
      <c r="J40" s="8" t="n"/>
      <c r="K40" s="7" t="n"/>
    </row>
    <row r="41">
      <c r="A41" s="7" t="n"/>
      <c r="B41" s="7" t="n"/>
      <c r="C41" s="7" t="n"/>
      <c r="D41" s="7" t="n"/>
      <c r="E41" s="8" t="n"/>
      <c r="F41" s="7" t="n"/>
      <c r="G41" s="7" t="n"/>
      <c r="H41" s="8" t="n"/>
      <c r="I41" s="8" t="n"/>
      <c r="J41" s="8" t="n"/>
      <c r="K41" s="7" t="n"/>
    </row>
    <row r="42">
      <c r="A42" s="7" t="n"/>
      <c r="B42" s="7" t="n"/>
      <c r="C42" s="7" t="n"/>
      <c r="D42" s="7" t="n"/>
      <c r="E42" s="8" t="n"/>
      <c r="F42" s="7" t="n"/>
      <c r="G42" s="7" t="n"/>
      <c r="H42" s="8" t="n"/>
      <c r="I42" s="8" t="n"/>
      <c r="J42" s="8" t="n"/>
      <c r="K42" s="7" t="n"/>
    </row>
    <row r="43">
      <c r="A43" s="7" t="n"/>
      <c r="B43" s="7" t="n"/>
      <c r="C43" s="7" t="n"/>
      <c r="D43" s="7" t="n"/>
      <c r="E43" s="8" t="n"/>
      <c r="F43" s="7" t="n"/>
      <c r="G43" s="7" t="n"/>
      <c r="H43" s="8" t="n"/>
      <c r="I43" s="8" t="n"/>
      <c r="J43" s="8" t="n"/>
      <c r="K43" s="7" t="n"/>
    </row>
    <row r="44">
      <c r="A44" s="7" t="n"/>
      <c r="B44" s="7" t="n"/>
      <c r="C44" s="7" t="n"/>
      <c r="D44" s="7" t="n"/>
      <c r="E44" s="8" t="n"/>
      <c r="F44" s="7" t="n"/>
      <c r="G44" s="7" t="n"/>
      <c r="H44" s="8" t="n"/>
      <c r="I44" s="8" t="n"/>
      <c r="J44" s="8" t="n"/>
      <c r="K44" s="7" t="n"/>
    </row>
    <row r="45">
      <c r="A45" s="7" t="n"/>
      <c r="B45" s="7" t="n"/>
      <c r="C45" s="7" t="n"/>
      <c r="D45" s="7" t="n"/>
      <c r="E45" s="8" t="n"/>
      <c r="F45" s="7" t="n"/>
      <c r="G45" s="7" t="n"/>
      <c r="H45" s="8" t="n"/>
      <c r="I45" s="8" t="n"/>
      <c r="J45" s="8" t="n"/>
      <c r="K45" s="7" t="n"/>
    </row>
    <row r="46">
      <c r="A46" s="7" t="n"/>
      <c r="B46" s="7" t="n"/>
      <c r="C46" s="7" t="n"/>
      <c r="D46" s="7" t="n"/>
      <c r="E46" s="8" t="n"/>
      <c r="F46" s="7" t="n"/>
      <c r="G46" s="7" t="n"/>
      <c r="H46" s="8" t="n"/>
      <c r="I46" s="8" t="n"/>
      <c r="J46" s="8" t="n"/>
      <c r="K46" s="7" t="n"/>
    </row>
    <row r="47">
      <c r="A47" s="7" t="n"/>
      <c r="B47" s="7" t="n"/>
      <c r="C47" s="7" t="n"/>
      <c r="D47" s="7" t="n"/>
      <c r="E47" s="8" t="n"/>
      <c r="F47" s="7" t="n"/>
      <c r="G47" s="7" t="n"/>
      <c r="H47" s="8" t="n"/>
      <c r="I47" s="8" t="n"/>
      <c r="J47" s="8" t="n"/>
      <c r="K47" s="7" t="n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42" customWidth="1" min="5" max="5"/>
  </cols>
  <sheetData>
    <row r="1" ht="30" customHeight="1">
      <c r="A1" s="1" t="inlineStr">
        <is>
          <t>漏斗看板（自动计算，不用手填）</t>
        </is>
      </c>
    </row>
    <row r="3">
      <c r="A3" s="9" t="inlineStr">
        <is>
          <t>转化环节</t>
        </is>
      </c>
      <c r="B3" s="9" t="inlineStr">
        <is>
          <t>数量</t>
        </is>
      </c>
      <c r="C3" s="9" t="inlineStr">
        <is>
          <t>转化率</t>
        </is>
      </c>
      <c r="D3" s="9" t="inlineStr">
        <is>
          <t>目标线</t>
        </is>
      </c>
      <c r="E3" s="9" t="inlineStr">
        <is>
          <t>说明</t>
        </is>
      </c>
    </row>
    <row r="4" ht="26" customHeight="1">
      <c r="A4" s="10" t="inlineStr">
        <is>
          <t>① 识别意向（A+B）</t>
        </is>
      </c>
      <c r="B4" s="11">
        <f>COUNTA('1_每日台账'!E5:E200)</f>
        <v/>
      </c>
      <c r="C4" s="12" t="n"/>
      <c r="D4" s="13" t="inlineStr">
        <is>
          <t>—</t>
        </is>
      </c>
      <c r="E4" s="14" t="inlineStr">
        <is>
          <t>AI 扫出来的意向条数</t>
        </is>
      </c>
    </row>
    <row r="5" ht="26" customHeight="1">
      <c r="A5" s="10" t="inlineStr">
        <is>
          <t>② 已回复</t>
        </is>
      </c>
      <c r="B5" s="11">
        <f>SUM('1_每日台账'!H5:H1048576)</f>
        <v/>
      </c>
      <c r="C5" s="12">
        <f>IF(B4&gt;0,B5/B4,0)</f>
        <v/>
      </c>
      <c r="D5" s="13" t="inlineStr">
        <is>
          <t>&gt;80%</t>
        </is>
      </c>
      <c r="E5" s="14" t="inlineStr">
        <is>
          <t>回复率：识别了就要回</t>
        </is>
      </c>
    </row>
    <row r="6" ht="26" customHeight="1">
      <c r="A6" s="10" t="inlineStr">
        <is>
          <t>③ 进私信</t>
        </is>
      </c>
      <c r="B6" s="11">
        <f>SUM('1_每日台账'!I5:I1048576)</f>
        <v/>
      </c>
      <c r="C6" s="12">
        <f>IF(B5&gt;0,B6/B5,0)</f>
        <v/>
      </c>
      <c r="D6" s="13" t="inlineStr">
        <is>
          <t>&gt;2%</t>
        </is>
      </c>
      <c r="E6" s="14" t="inlineStr">
        <is>
          <t>★核心：回复→私信转化率</t>
        </is>
      </c>
    </row>
    <row r="7" ht="26" customHeight="1">
      <c r="A7" s="10" t="inlineStr">
        <is>
          <t>④ 留资/加微</t>
        </is>
      </c>
      <c r="B7" s="11">
        <f>SUM('1_每日台账'!J5:J1048576)</f>
        <v/>
      </c>
      <c r="C7" s="12">
        <f>IF(B6&gt;0,B7/B6,0)</f>
        <v/>
      </c>
      <c r="D7" s="13" t="inlineStr">
        <is>
          <t>&gt;30%</t>
        </is>
      </c>
      <c r="E7" s="14" t="inlineStr">
        <is>
          <t>私信→留资率：承接话术好不好</t>
        </is>
      </c>
    </row>
    <row r="9">
      <c r="A9" s="15" t="inlineStr">
        <is>
          <t>怎么读这张表（重要）</t>
        </is>
      </c>
    </row>
    <row r="10">
      <c r="A10" s="16" t="inlineStr">
        <is>
          <t>① 「已回复」远小于「识别意向」→ 人手不够或派单掉漏，加人或改派单</t>
        </is>
      </c>
    </row>
    <row r="11">
      <c r="A11" s="16" t="inlineStr">
        <is>
          <t>② 「回复→私信」&lt; 2% → 话术不行（客户没兴趣聊），先改话术，别加量</t>
        </is>
      </c>
    </row>
    <row r="12">
      <c r="A12" s="16" t="inlineStr">
        <is>
          <t>③ 「私信→留资」&lt; 30% → 承接不行（私信没给到价值/没引导），改承接话术</t>
        </is>
      </c>
    </row>
    <row r="13">
      <c r="A13" s="16" t="inlineStr">
        <is>
          <t>④ 三个率都正常但成交少 → 那是产品/价格问题，不是获客问题</t>
        </is>
      </c>
    </row>
  </sheetData>
  <mergeCells count="6">
    <mergeCell ref="A12:E12"/>
    <mergeCell ref="A10:E10"/>
    <mergeCell ref="A11:E11"/>
    <mergeCell ref="A1:E1"/>
    <mergeCell ref="A13:E13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0" customWidth="1" min="3" max="3"/>
    <col width="16" customWidth="1" min="4" max="4"/>
    <col width="34" customWidth="1" min="5" max="5"/>
    <col width="10" customWidth="1" min="6" max="6"/>
  </cols>
  <sheetData>
    <row r="1" ht="30" customHeight="1">
      <c r="A1" s="1" t="inlineStr">
        <is>
          <t>需求池：客户在评论区问的问题 → 反哺内容选题（白档）</t>
        </is>
      </c>
    </row>
    <row r="2">
      <c r="A2" s="2" t="inlineStr">
        <is>
          <t>用法：扫评时遇到「问同一个问题」的评论就记一行，累计 ≥3 次的问题 → 就该做成一条内容</t>
        </is>
      </c>
    </row>
    <row r="4" ht="26" customHeight="1">
      <c r="A4" s="17" t="inlineStr">
        <is>
          <t>日期</t>
        </is>
      </c>
      <c r="B4" s="17" t="inlineStr">
        <is>
          <t>客户问的问题（原话）</t>
        </is>
      </c>
      <c r="C4" s="17" t="inlineStr">
        <is>
          <t>出现次数</t>
        </is>
      </c>
      <c r="D4" s="17" t="inlineStr">
        <is>
          <t>需求标签</t>
        </is>
      </c>
      <c r="E4" s="17" t="inlineStr">
        <is>
          <t>对应内容选题</t>
        </is>
      </c>
      <c r="F4" s="17" t="inlineStr">
        <is>
          <t>已发布?</t>
        </is>
      </c>
    </row>
    <row r="5" ht="28" customHeight="1">
      <c r="A5" s="4" t="inlineStr">
        <is>
          <t>2026-10-27</t>
        </is>
      </c>
      <c r="B5" s="6" t="inlineStr">
        <is>
          <t>带70岁老人去云南方便吗</t>
        </is>
      </c>
      <c r="C5" s="5" t="n">
        <v>5</v>
      </c>
      <c r="D5" s="4" t="inlineStr">
        <is>
          <t>老年友好行程</t>
        </is>
      </c>
      <c r="E5" s="6" t="inlineStr">
        <is>
          <t>带老人游云南：每天车程2小时内的路线</t>
        </is>
      </c>
      <c r="F5" s="5" t="inlineStr">
        <is>
          <t>否</t>
        </is>
      </c>
    </row>
    <row r="6" ht="28" customHeight="1">
      <c r="A6" s="4" t="inlineStr">
        <is>
          <t>2026-10-27</t>
        </is>
      </c>
      <c r="B6" s="6" t="inlineStr">
        <is>
          <t>两个人五天大概多少钱</t>
        </is>
      </c>
      <c r="C6" s="5" t="n">
        <v>8</v>
      </c>
      <c r="D6" s="4" t="inlineStr">
        <is>
          <t>价格透明</t>
        </is>
      </c>
      <c r="E6" s="6" t="inlineStr">
        <is>
          <t>云南5天纯玩到底多少钱（含明细）</t>
        </is>
      </c>
      <c r="F6" s="5" t="inlineStr">
        <is>
          <t>否</t>
        </is>
      </c>
    </row>
    <row r="7" ht="28" customHeight="1">
      <c r="A7" s="4" t="inlineStr">
        <is>
          <t>2026-10-27</t>
        </is>
      </c>
      <c r="B7" s="6" t="inlineStr">
        <is>
          <t>会不会高反</t>
        </is>
      </c>
      <c r="C7" s="5" t="n">
        <v>4</v>
      </c>
      <c r="D7" s="4" t="inlineStr">
        <is>
          <t>高反焦虑</t>
        </is>
      </c>
      <c r="E7" s="6" t="inlineStr">
        <is>
          <t>按这个顺序走，云南几乎不会高反</t>
        </is>
      </c>
      <c r="F7" s="5" t="inlineStr">
        <is>
          <t>否</t>
        </is>
      </c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30" customHeight="1">
      <c r="A1" s="18" t="inlineStr">
        <is>
          <t>这套表怎么跑（3 分钟看完）</t>
        </is>
      </c>
    </row>
    <row r="3">
      <c r="B3" s="15" t="inlineStr">
        <is>
          <t>每天（员工）</t>
        </is>
      </c>
    </row>
    <row r="4" ht="34" customHeight="1">
      <c r="B4" s="19" t="inlineStr">
        <is>
          <t>① 打开雷达扫作品 → ② 每条回复后在「1_每日台账」填一行 → ③ 雷达导出的 CSV 可批量贴进来</t>
        </is>
      </c>
    </row>
    <row r="6">
      <c r="B6" s="15" t="inlineStr">
        <is>
          <t>每天（组长）</t>
        </is>
      </c>
    </row>
    <row r="7" ht="34" customHeight="1">
      <c r="B7" s="19" t="inlineStr">
        <is>
          <t>看「1_每日台账」有无漏填；看谁回复量明显低于别人（派单不顺或偷懒）</t>
        </is>
      </c>
    </row>
    <row r="9">
      <c r="B9" s="15" t="inlineStr">
        <is>
          <t>每周（负责人）</t>
        </is>
      </c>
    </row>
    <row r="10" ht="34" customHeight="1">
      <c r="B10" s="19" t="inlineStr">
        <is>
          <t>看「2_漏斗看板」三个率：回复率 / 回复→私信率 / 私信→留资率，哪个低于目标就调哪个环节</t>
        </is>
      </c>
    </row>
    <row r="12">
      <c r="B12" s="15" t="inlineStr">
        <is>
          <t>每周（内容）</t>
        </is>
      </c>
    </row>
    <row r="13" ht="34" customHeight="1">
      <c r="B13" s="19" t="inlineStr">
        <is>
          <t>看「3_需求池」：出现 ≥3 次的问题，做成内容；发布后填「已发布」</t>
        </is>
      </c>
    </row>
    <row r="15">
      <c r="B15" s="15" t="inlineStr">
        <is>
          <t>给客户看什么</t>
        </is>
      </c>
    </row>
    <row r="16" ht="34" customHeight="1">
      <c r="B16" s="19" t="inlineStr">
        <is>
          <t>只给「2_漏斗看板」和「3_需求池」两张——这是价值证明；台账和话术是内部资产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2026-10-27T12:09:37Z</dcterms:created>
  <dcterms:modified xsi:type="dcterms:W3CDTF">2026-10-27T12:09:37Z</dcterms:modified>
</cp:coreProperties>
</file>